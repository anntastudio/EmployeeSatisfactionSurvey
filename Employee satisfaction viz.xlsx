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1bb69bb178837/"/>
    </mc:Choice>
  </mc:AlternateContent>
  <xr:revisionPtr revIDLastSave="141" documentId="8_{0E467ABB-00DC-4964-AF01-C4CDF4E5B2CB}" xr6:coauthVersionLast="47" xr6:coauthVersionMax="47" xr10:uidLastSave="{097470F3-C31F-4D3B-91DA-8841803074F7}"/>
  <bookViews>
    <workbookView xWindow="-110" yWindow="-110" windowWidth="22780" windowHeight="14540" xr2:uid="{F2161C2C-92B8-4CA3-A88C-05EE364FEC85}"/>
  </bookViews>
  <sheets>
    <sheet name="EmployeeSatisfa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  <c r="B1" i="1" l="1"/>
  <c r="F1" i="1" a="1"/>
  <c r="K1" i="1" a="1"/>
  <c r="A32" i="1" a="1"/>
  <c r="F1" i="1" l="1"/>
  <c r="K1" i="1"/>
  <c r="A32" i="1"/>
  <c r="A46" i="1" a="1"/>
  <c r="A4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1E14DF-1079-4162-A199-F6FAD780EBB1}" keepAlive="1" name="Query - Satisfaction_Survey" description="Connection to the 'Satisfaction_Survey' query in the workbook." type="5" refreshedVersion="0" background="1">
    <dbPr connection="Provider=Microsoft.Mashup.OleDb.1;Data Source=$Workbook$;Location=Satisfaction_Survey;Extended Properties=&quot;&quot;" command="SELECT * FROM [Satisfaction_Surve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3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11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# Plot heatmap to see correlation across features
sns.heatmap(xl(%P2%).corr(numeric_only=True),annot=True, fmt='.2f', cmap='coolwarm_r')
# Rotate x-axis label 45 degrees for readability
plt.xticks(rotation=45, ha='right')
# Add title
plt.title("How Workplace Metrics Relate to Each Other", fontweight='bold', ha='center', fontsize=14)</code>
    </pythonScript>
    <pythonScript>
      <code># Create the plot
ax = sns.lmplot(xl(%P2%), x="Meeting Hours/Week", y="Employee Satisfaction (1-10)")
# Add horizontal line at y=9
plt.axhline(y=9, color='#d73027', linestyle='--', linewidth=2, label='Target Satisfaction = 9')
# Calculate the x-value where the regression line crosses y=9
# First, get the regression line parameters
from scipy import stats
data = xl(%P3%)
x_data = data["Meeting Hours/Week"]
y_data = data["Employee Satisfaction (1-10)"]
slope, intercept, r_value, p_value, std_err = stats.linregress(x_data, y_data)
# Calculate x when y=9: x = (y - intercept) / slope
x_at_9 = (9 - intercept) / slope
# Add vertical line at that x-value
plt.axvline(x=x_at_9, color='#d73027', linestyle='--', linewidth=2, label=f'Meeting Hours = {x_at_9:.2f}')
# Add legend
plt.legend()
# Add title
plt.title("A higher amount of meeting hours could lead to dissatisfaction", fontweight='bold', ha='center', fontsize=14)
plt.show()</code>
    </pythonScript>
    <pythonScript>
      <code># Create the plot
ax = sns.lmplot(xl(%P2%), x="Training Hours Completed", y="Performance Rating (1-10)")
# Add horizontal line at y=9
plt.axhline(y=9, color='#d73027', linestyle='--', linewidth=2, label='Target Performance Rating = 9')
# Calculate the x-value where the regression line crosses y=9
# First, get the regression line parameters
from scipy import stats
data = xl(%P3%)
x_data = data["Training Hours Completed"]
y_data = data["Performance Rating (1-10)"]
slope, intercept, r_value, p_value, std_err = stats.linregress(x_data, y_data)
# Calculate x when y=9: x = (y - intercept) / slope
x_at_9 = (9 - intercept) / slope
# Add vertical line at that x-value
plt.axvline(x=x_at_9, color='#d73027', linestyle='--', linewidth=2, label=f'Training Hours = {x_at_9:.2f}')
# Add legend
plt.legend()
# Add title
plt.title("Training has a positive impact on Performance", fontweight='bold', ha='center', fontsize=14)
plt.show()</code>
    </pythonScript>
    <pythonScript>
      <code>df = xl(%P2%)
pd.DataFrame({
    'Column': df.columns,
    'Non-Null Count': df.count(),
    'Dtype': df.dtypes
})</code>
    </pythonScript>
    <pythonScript>
      <code>xl(%P2%).describe()</code>
    </pythonScript>
  </pythonScripts>
</python>
</file>

<file path=xl/sharedStrings.xml><?xml version="1.0" encoding="utf-8"?>
<sst xmlns="http://schemas.openxmlformats.org/spreadsheetml/2006/main" count="5" uniqueCount="4">
  <si>
    <t>Correlation between Meeting Hours and Satisfaction:</t>
  </si>
  <si>
    <t>Correlation among different features:</t>
  </si>
  <si>
    <t>Data info</t>
  </si>
  <si>
    <t>Data stats on numeric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</si>
</sst>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18" Type="http://schemas.microsoft.com/office/2023/09/relationships/Python" Target="python.xml"/><Relationship Id="rId3" Type="http://schemas.openxmlformats.org/officeDocument/2006/relationships/connections" Target="connections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17" Type="http://schemas.openxmlformats.org/officeDocument/2006/relationships/customXml" Target="../customXml/item1.xml"/><Relationship Id="rId2" Type="http://schemas.openxmlformats.org/officeDocument/2006/relationships/theme" Target="theme/theme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microsoft.com/office/2017/10/relationships/person" Target="persons/perso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165100</xdr:rowOff>
    </xdr:from>
    <xdr:to>
      <xdr:col>2</xdr:col>
      <xdr:colOff>1007638</xdr:colOff>
      <xdr:row>27</xdr:row>
      <xdr:rowOff>125506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EBF7B-B8A1-E7B1-5BEA-61A6D38E4A18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EmployeeSatisfaction!B1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3688"/>
          <a:ext cx="5191167" cy="4442759"/>
        </a:xfrm>
        <a:prstGeom prst="rect">
          <a:avLst/>
        </a:prstGeom>
      </xdr:spPr>
    </xdr:pic>
    <xdr:clientData/>
  </xdr:twoCellAnchor>
  <xdr:twoCellAnchor editAs="oneCell">
    <xdr:from>
      <xdr:col>3</xdr:col>
      <xdr:colOff>166220</xdr:colOff>
      <xdr:row>2</xdr:row>
      <xdr:rowOff>165100</xdr:rowOff>
    </xdr:from>
    <xdr:to>
      <xdr:col>7</xdr:col>
      <xdr:colOff>515471</xdr:colOff>
      <xdr:row>22</xdr:row>
      <xdr:rowOff>126160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4CA97B-9BA6-2CAA-B96A-6FE2FB2A8C5E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EmployeeSatisfaction!F1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9985" y="523688"/>
          <a:ext cx="5190192" cy="3546943"/>
        </a:xfrm>
        <a:prstGeom prst="rect">
          <a:avLst/>
        </a:prstGeom>
      </xdr:spPr>
    </xdr:pic>
    <xdr:clientData/>
  </xdr:twoCellAnchor>
  <xdr:twoCellAnchor editAs="oneCell">
    <xdr:from>
      <xdr:col>7</xdr:col>
      <xdr:colOff>920002</xdr:colOff>
      <xdr:row>2</xdr:row>
      <xdr:rowOff>165100</xdr:rowOff>
    </xdr:from>
    <xdr:to>
      <xdr:col>10</xdr:col>
      <xdr:colOff>507870</xdr:colOff>
      <xdr:row>22</xdr:row>
      <xdr:rowOff>171823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78DA2FA0-BEBE-4329-2D95-A9BE199588BE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EmployeeSatisfaction!K1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54708" y="523688"/>
          <a:ext cx="3861044" cy="359260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2">
    <v>714</v>
    <v>575</v>
  </a>
  <a r="2">
    <v>713</v>
    <v>513</v>
  </a>
  <a r="2">
    <v>533</v>
    <v>513</v>
  </a>
</arrayData>
</file>

<file path=xl/richData/rdrichvalue.xml><?xml version="1.0" encoding="utf-8"?>
<rvData xmlns="http://schemas.microsoft.com/office/spreadsheetml/2017/richdata" count="12">
  <rv s="0">
    <v>0</v>
    <v>9</v>
  </rv>
  <rv s="1">
    <v>0</v>
  </rv>
  <rv s="2">
    <v>Image</v>
    <v>0</v>
    <v>0</v>
    <v>1</v>
  </rv>
  <rv s="3">
    <v>&lt;class 'PIL.PngImagePlugin.PngImageFile'&gt;</v>
    <v>PngImageFile</v>
    <v>&lt;PIL.PngImagePlugin.PngImageFile image mode=RGBA size=714x575 at 0x7F3BA46F6F00&gt;</v>
    <v>2</v>
    <v>1</v>
  </rv>
  <rv s="0">
    <v>1</v>
    <v>9</v>
  </rv>
  <rv s="1">
    <v>1</v>
  </rv>
  <rv s="2">
    <v>Image</v>
    <v>0</v>
    <v>4</v>
    <v>5</v>
  </rv>
  <rv s="3">
    <v>&lt;class 'PIL.PngImagePlugin.PngImageFile'&gt;</v>
    <v>PngImageFile</v>
    <v>&lt;PIL.PngImagePlugin.PngImageFile image mode=RGBA size=713x513 at 0x7F3BA2FB9D00&gt;</v>
    <v>6</v>
    <v>1</v>
  </rv>
  <rv s="0">
    <v>2</v>
    <v>9</v>
  </rv>
  <rv s="1">
    <v>2</v>
  </rv>
  <rv s="2">
    <v>Image</v>
    <v>0</v>
    <v>8</v>
    <v>9</v>
  </rv>
  <rv s="3">
    <v>&lt;class 'PIL.PngImagePlugin.PngImageFile'&gt;</v>
    <v>PngImageFile</v>
    <v>&lt;PIL.PngImagePlugin.PngImageFile image mode=RGBA size=533x513 at 0x7F3BA48B6750&gt;</v>
    <v>10</v>
    <v>1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F902-575B-471A-9C9E-5424A9545CFC}">
  <dimension ref="A1:K54"/>
  <sheetViews>
    <sheetView showGridLines="0" tabSelected="1" zoomScale="85" zoomScaleNormal="85" workbookViewId="0">
      <selection activeCell="K33" sqref="K33"/>
    </sheetView>
  </sheetViews>
  <sheetFormatPr defaultRowHeight="14"/>
  <cols>
    <col min="1" max="1" width="30.58203125" bestFit="1" customWidth="1"/>
    <col min="2" max="2" width="24.33203125" bestFit="1" customWidth="1"/>
    <col min="3" max="9" width="15.9140625" customWidth="1"/>
    <col min="10" max="10" width="24.33203125" bestFit="1" customWidth="1"/>
    <col min="11" max="11" width="17.25" bestFit="1" customWidth="1"/>
    <col min="12" max="12" width="15.75" bestFit="1" customWidth="1"/>
    <col min="13" max="13" width="22" bestFit="1" customWidth="1"/>
    <col min="14" max="14" width="22.33203125" bestFit="1" customWidth="1"/>
  </cols>
  <sheetData>
    <row r="1" spans="1:11">
      <c r="A1" t="s">
        <v>1</v>
      </c>
      <c r="B1" t="e" cm="1" vm="1">
        <f t="array" ref="B1">_xlfn._xlws.PY(0,1,_xlfn.PQSOURCE("515aaf42-5223-44df-a29f-c9f2a2b71914"))</f>
        <v>#VALUE!</v>
      </c>
      <c r="E1" t="s">
        <v>0</v>
      </c>
      <c r="F1" t="e" cm="1" vm="2">
        <f t="array" ref="F1">_xlfn._xlws.PY(1,1,_xlfn.PQSOURCE("515aaf42-5223-44df-a29f-c9f2a2b71914"),_xlfn.PQSOURCE("515aaf42-5223-44df-a29f-c9f2a2b71914"))</f>
        <v>#VALUE!</v>
      </c>
      <c r="J1" t="s">
        <v>0</v>
      </c>
      <c r="K1" t="e" cm="1" vm="3">
        <f t="array" ref="K1">_xlfn._xlws.PY(2,1,_xlfn.PQSOURCE("515aaf42-5223-44df-a29f-c9f2a2b71914"),_xlfn.PQSOURCE("515aaf42-5223-44df-a29f-c9f2a2b71914"))</f>
        <v>#VALUE!</v>
      </c>
    </row>
    <row r="31" spans="1:4">
      <c r="A31" s="1" t="s">
        <v>2</v>
      </c>
      <c r="B31" s="2"/>
      <c r="C31" s="2"/>
      <c r="D31" s="3"/>
    </row>
    <row r="32" spans="1:4">
      <c r="A32" s="4" t="str" cm="1">
        <f t="array" ref="A32:D42">_xlfn._xlws.PY(3,0,_xlfn.PQSOURCE("515aaf42-5223-44df-a29f-c9f2a2b71914"))</f>
        <v/>
      </c>
      <c r="B32" t="str">
        <v>Column</v>
      </c>
      <c r="C32" t="str">
        <v>Non-Null Count</v>
      </c>
      <c r="D32" s="5" t="str">
        <v>Dtype</v>
      </c>
    </row>
    <row r="33" spans="1:9">
      <c r="A33" s="4" t="str">
        <v>Employee ID</v>
      </c>
      <c r="B33" t="str">
        <v>Employee ID</v>
      </c>
      <c r="C33">
        <v>150</v>
      </c>
      <c r="D33" s="5" t="str">
        <v>object</v>
      </c>
    </row>
    <row r="34" spans="1:9">
      <c r="A34" s="4" t="str">
        <v>Name</v>
      </c>
      <c r="B34" t="str">
        <v>Name</v>
      </c>
      <c r="C34">
        <v>150</v>
      </c>
      <c r="D34" s="5" t="str">
        <v>object</v>
      </c>
    </row>
    <row r="35" spans="1:9">
      <c r="A35" s="4" t="str">
        <v>Work Hours/Week</v>
      </c>
      <c r="B35" t="str">
        <v>Work Hours/Week</v>
      </c>
      <c r="C35">
        <v>150</v>
      </c>
      <c r="D35" s="5" t="str">
        <v>float64</v>
      </c>
    </row>
    <row r="36" spans="1:9">
      <c r="A36" s="4" t="str">
        <v>Meeting Hours/Week</v>
      </c>
      <c r="B36" t="str">
        <v>Meeting Hours/Week</v>
      </c>
      <c r="C36">
        <v>150</v>
      </c>
      <c r="D36" s="5" t="str">
        <v>float64</v>
      </c>
    </row>
    <row r="37" spans="1:9">
      <c r="A37" s="4" t="str">
        <v>Email Response Time (min)</v>
      </c>
      <c r="B37" t="str">
        <v>Email Response Time (min)</v>
      </c>
      <c r="C37">
        <v>150</v>
      </c>
      <c r="D37" s="5" t="str">
        <v>float64</v>
      </c>
    </row>
    <row r="38" spans="1:9">
      <c r="A38" s="4" t="str">
        <v>Employee Satisfaction (1-10)</v>
      </c>
      <c r="B38" t="str">
        <v>Employee Satisfaction (1-10)</v>
      </c>
      <c r="C38">
        <v>150</v>
      </c>
      <c r="D38" s="5" t="str">
        <v>float64</v>
      </c>
    </row>
    <row r="39" spans="1:9">
      <c r="A39" s="4" t="str">
        <v>Sick Days (per year)</v>
      </c>
      <c r="B39" t="str">
        <v>Sick Days (per year)</v>
      </c>
      <c r="C39">
        <v>150</v>
      </c>
      <c r="D39" s="5" t="str">
        <v>int64</v>
      </c>
    </row>
    <row r="40" spans="1:9">
      <c r="A40" s="4" t="str">
        <v>Years at Company</v>
      </c>
      <c r="B40" t="str">
        <v>Years at Company</v>
      </c>
      <c r="C40">
        <v>150</v>
      </c>
      <c r="D40" s="5" t="str">
        <v>int64</v>
      </c>
    </row>
    <row r="41" spans="1:9">
      <c r="A41" s="4" t="str">
        <v>Training Hours Completed</v>
      </c>
      <c r="B41" t="str">
        <v>Training Hours Completed</v>
      </c>
      <c r="C41">
        <v>150</v>
      </c>
      <c r="D41" s="5" t="str">
        <v>float64</v>
      </c>
    </row>
    <row r="42" spans="1:9">
      <c r="A42" s="6" t="str">
        <v>Performance Rating (1-10)</v>
      </c>
      <c r="B42" s="7" t="str">
        <v>Performance Rating (1-10)</v>
      </c>
      <c r="C42" s="7">
        <v>150</v>
      </c>
      <c r="D42" s="8" t="str">
        <v>float64</v>
      </c>
    </row>
    <row r="45" spans="1:9">
      <c r="A45" s="1" t="s">
        <v>3</v>
      </c>
      <c r="B45" s="2"/>
      <c r="C45" s="2"/>
      <c r="D45" s="2"/>
      <c r="E45" s="2"/>
      <c r="F45" s="2"/>
      <c r="G45" s="2"/>
      <c r="H45" s="2"/>
      <c r="I45" s="3"/>
    </row>
    <row r="46" spans="1:9">
      <c r="A46" s="4" t="str" cm="1">
        <f t="array" ref="A46:I54">_xlfn._xlws.PY(4,0,_xlfn.PQSOURCE("515aaf42-5223-44df-a29f-c9f2a2b71914"))</f>
        <v/>
      </c>
      <c r="B46" t="str">
        <v>Work Hours/Week</v>
      </c>
      <c r="C46" t="str">
        <v>Meeting Hours/Week</v>
      </c>
      <c r="D46" t="str">
        <v>Email Response Time (min)</v>
      </c>
      <c r="E46" t="str">
        <v>Employee Satisfaction (1-10)</v>
      </c>
      <c r="F46" t="str">
        <v>Sick Days (per year)</v>
      </c>
      <c r="G46" t="str">
        <v>Years at Company</v>
      </c>
      <c r="H46" t="str">
        <v>Training Hours Completed</v>
      </c>
      <c r="I46" s="5" t="str">
        <v>Performance Rating (1-10)</v>
      </c>
    </row>
    <row r="47" spans="1:9">
      <c r="A47" s="4" t="str">
        <v>count</v>
      </c>
      <c r="B47">
        <v>150</v>
      </c>
      <c r="C47">
        <v>150</v>
      </c>
      <c r="D47">
        <v>150</v>
      </c>
      <c r="E47">
        <v>150</v>
      </c>
      <c r="F47">
        <v>150</v>
      </c>
      <c r="G47">
        <v>150</v>
      </c>
      <c r="H47">
        <v>150</v>
      </c>
      <c r="I47" s="5">
        <v>150</v>
      </c>
    </row>
    <row r="48" spans="1:9">
      <c r="A48" s="4" t="str">
        <v>mean</v>
      </c>
      <c r="B48">
        <v>40.575333333333333</v>
      </c>
      <c r="C48">
        <v>8.0446666666666662</v>
      </c>
      <c r="D48">
        <v>30.964000000000002</v>
      </c>
      <c r="E48">
        <v>8.5953333333333344</v>
      </c>
      <c r="F48">
        <v>1.7</v>
      </c>
      <c r="G48">
        <v>10.713333333333333</v>
      </c>
      <c r="H48">
        <v>19.902666666666672</v>
      </c>
      <c r="I48" s="5">
        <v>8.3573333333333348</v>
      </c>
    </row>
    <row r="49" spans="1:9">
      <c r="A49" s="4" t="str">
        <v>std</v>
      </c>
      <c r="B49">
        <v>4.9267103345293126</v>
      </c>
      <c r="C49">
        <v>3.1938602312458477</v>
      </c>
      <c r="D49">
        <v>10.81893244866882</v>
      </c>
      <c r="E49">
        <v>0.73057269681010106</v>
      </c>
      <c r="F49">
        <v>1.4551459254760428</v>
      </c>
      <c r="G49">
        <v>5.5530832679476942</v>
      </c>
      <c r="H49">
        <v>5.273600793043097</v>
      </c>
      <c r="I49" s="5">
        <v>1.2546475569537534</v>
      </c>
    </row>
    <row r="50" spans="1:9">
      <c r="A50" s="4" t="str">
        <v>min</v>
      </c>
      <c r="B50">
        <v>25.5</v>
      </c>
      <c r="C50">
        <v>0.70000000000000007</v>
      </c>
      <c r="D50">
        <v>5</v>
      </c>
      <c r="E50">
        <v>6.6</v>
      </c>
      <c r="F50">
        <v>0</v>
      </c>
      <c r="G50">
        <v>1</v>
      </c>
      <c r="H50">
        <v>5</v>
      </c>
      <c r="I50" s="5">
        <v>4.3</v>
      </c>
    </row>
    <row r="51" spans="1:9">
      <c r="A51" s="4" t="str">
        <v>25%</v>
      </c>
      <c r="B51">
        <v>37.625</v>
      </c>
      <c r="C51">
        <v>6</v>
      </c>
      <c r="D51">
        <v>24.9</v>
      </c>
      <c r="E51">
        <v>8.1999999999999993</v>
      </c>
      <c r="F51">
        <v>1</v>
      </c>
      <c r="G51">
        <v>6</v>
      </c>
      <c r="H51">
        <v>17</v>
      </c>
      <c r="I51" s="5">
        <v>7.5</v>
      </c>
    </row>
    <row r="52" spans="1:9">
      <c r="A52" s="4" t="str">
        <v>50%</v>
      </c>
      <c r="B52">
        <v>41</v>
      </c>
      <c r="C52">
        <v>8.1</v>
      </c>
      <c r="D52">
        <v>30.799999999999997</v>
      </c>
      <c r="E52">
        <v>8.6</v>
      </c>
      <c r="F52">
        <v>1</v>
      </c>
      <c r="G52">
        <v>11</v>
      </c>
      <c r="H52">
        <v>19.7</v>
      </c>
      <c r="I52" s="5">
        <v>8.4</v>
      </c>
    </row>
    <row r="53" spans="1:9">
      <c r="A53" s="4" t="str">
        <v>75%</v>
      </c>
      <c r="B53">
        <v>43.3</v>
      </c>
      <c r="C53">
        <v>10.174999999999999</v>
      </c>
      <c r="D53">
        <v>37.75</v>
      </c>
      <c r="E53">
        <v>9.1</v>
      </c>
      <c r="F53">
        <v>3</v>
      </c>
      <c r="G53">
        <v>15</v>
      </c>
      <c r="H53">
        <v>23.4</v>
      </c>
      <c r="I53" s="5">
        <v>9.3000000000000007</v>
      </c>
    </row>
    <row r="54" spans="1:9">
      <c r="A54" s="6" t="str">
        <v>max</v>
      </c>
      <c r="B54" s="7">
        <v>51.4</v>
      </c>
      <c r="C54" s="7">
        <v>16.8</v>
      </c>
      <c r="D54" s="7">
        <v>62.6</v>
      </c>
      <c r="E54" s="7">
        <v>10</v>
      </c>
      <c r="F54" s="7">
        <v>7</v>
      </c>
      <c r="G54" s="7">
        <v>20</v>
      </c>
      <c r="H54" s="7">
        <v>39.6</v>
      </c>
      <c r="I54" s="8">
        <v>10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F3236C-CADB-4886-86F3-3318179ED1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EmployeeSatisfaction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Ta</dc:creator>
  <cp:lastModifiedBy>Ann Ta</cp:lastModifiedBy>
  <dcterms:created xsi:type="dcterms:W3CDTF">2026-01-03T23:19:55Z</dcterms:created>
  <dcterms:modified xsi:type="dcterms:W3CDTF">2026-01-04T01:11:56Z</dcterms:modified>
</cp:coreProperties>
</file>